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Mi-Hao\Dropbox\GolovkovaDJ211\"/>
    </mc:Choice>
  </mc:AlternateContent>
  <bookViews>
    <workbookView xWindow="0" yWindow="0" windowWidth="17256" windowHeight="5940"/>
  </bookViews>
  <sheets>
    <sheet name="Лист1" sheetId="1" r:id="rId1"/>
    <sheet name="Лист1 (2)" sheetId="2" r:id="rId2"/>
    <sheet name="пароль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" i="2" l="1"/>
  <c r="C8" i="2"/>
  <c r="C15" i="1" l="1"/>
  <c r="C8" i="1"/>
</calcChain>
</file>

<file path=xl/sharedStrings.xml><?xml version="1.0" encoding="utf-8"?>
<sst xmlns="http://schemas.openxmlformats.org/spreadsheetml/2006/main" count="114" uniqueCount="34">
  <si>
    <t>Комната</t>
  </si>
  <si>
    <t>Наименовние</t>
  </si>
  <si>
    <t>Цена</t>
  </si>
  <si>
    <t>Магазин</t>
  </si>
  <si>
    <t>Ссылка</t>
  </si>
  <si>
    <t>Гостиная</t>
  </si>
  <si>
    <t>Диван</t>
  </si>
  <si>
    <t>https://www.ikea.com/ru/ru/p/gimmarp-gimmarp-3-mestnyy-divan-krovat-rudorna-svetlo-seryy-90447299/</t>
  </si>
  <si>
    <t>IKEA</t>
  </si>
  <si>
    <t>Журнальный столик</t>
  </si>
  <si>
    <t>https://www.ikea.com/ru/ru/p/lack-lakk-zhurnalnyy-stol-cherno-korichnevyy-10446067/</t>
  </si>
  <si>
    <t>Тумба под телевизор</t>
  </si>
  <si>
    <t>https://www.ikea.com/ru/ru/p/besta-besto-tumba-pod-tv-cherno-korichnevyy-lappvik-stubbarp-cherno-korichnevyy-prozrachnoe-steklo-s19329257/</t>
  </si>
  <si>
    <t>Книжный шкаф</t>
  </si>
  <si>
    <t>https://www.ikea.com/ru/ru/p/brimnes-brimnes-stellazh-chernyy-10383338/</t>
  </si>
  <si>
    <t>Ковер</t>
  </si>
  <si>
    <t>https://www.ikea.com/ru/ru/p/tiphede-tiphede-kover-bezvorsovyy-chernyy-neokrashennyy-40470046/</t>
  </si>
  <si>
    <t>Кашпо</t>
  </si>
  <si>
    <t>https://www.ikea.com/ru/ru/p/gojibaer-goyiber-kashpo-na-opore-d-doma-ulicy-chernyy-80496855/</t>
  </si>
  <si>
    <t>Итого</t>
  </si>
  <si>
    <t>Спальня</t>
  </si>
  <si>
    <t>Кровать</t>
  </si>
  <si>
    <t>https://hoff.ru/catalog/spalnya/krovati/krovati_s_podemnym_mehanizmom/krovat_s_podyemnym_mekhanizmom_mila_id6910342/?articul=80369047</t>
  </si>
  <si>
    <t>HOFF</t>
  </si>
  <si>
    <t>Тумбочка прикроватная</t>
  </si>
  <si>
    <t>https://hoff.ru/catalog/spalnya/tumby_i_komody/tumby/tumba_sonata_id2816814/?articul=80308925</t>
  </si>
  <si>
    <t xml:space="preserve">Светильник </t>
  </si>
  <si>
    <t>https://hoff.ru/catalog/tovary_dlya_doma/osveschenie/nastolnye_lampy/dekorativnye/lampa_nastolnaya_lyuchiya_610_id2367149/?articul=80304774</t>
  </si>
  <si>
    <t xml:space="preserve">Ковер </t>
  </si>
  <si>
    <t>https://hoff.ru/catalog/tovary_dlya_doma/kovry/kovry_sheggi/kovyer_lonzh_id1785054/?articul=80295819</t>
  </si>
  <si>
    <t xml:space="preserve">Туалетный столик </t>
  </si>
  <si>
    <t>https://hoff.ru/catalog/spalnya/tualetnye_stoliki_i_banketki/tyaletnye_stoliki/tualetnyy_stol_linda_id5233860/?articul=80336584</t>
  </si>
  <si>
    <t>Пуф</t>
  </si>
  <si>
    <t>https://hoff.ru/catalog/gostinaya/pufy_i_banketki/pufy/puf_rubi_id110240/?articul=80064526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</si>
</sst>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E47C8B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0">
    <xf numFmtId="0" fontId="0" fillId="0" borderId="0" xfId="0"/>
    <xf numFmtId="0" fontId="1" fillId="0" borderId="0" xfId="1"/>
    <xf numFmtId="0" fontId="0" fillId="0" borderId="0" xfId="0" applyAlignment="1">
      <alignment horizontal="center"/>
    </xf>
    <xf numFmtId="0" fontId="1" fillId="0" borderId="0" xfId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/>
    <xf numFmtId="0" fontId="0" fillId="5" borderId="0" xfId="0" applyFill="1" applyAlignment="1">
      <alignment horizont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colors>
    <mruColors>
      <color rgb="FFE47C8B"/>
      <color rgb="FFFF69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15</xdr:row>
      <xdr:rowOff>167640</xdr:rowOff>
    </xdr:from>
    <xdr:to>
      <xdr:col>5</xdr:col>
      <xdr:colOff>38100</xdr:colOff>
      <xdr:row>52</xdr:row>
      <xdr:rowOff>44387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37560" y="2910840"/>
          <a:ext cx="8663940" cy="664330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hoff.ru/catalog/spalnya/tumby_i_komody/tumby/tumba_sonata_id2816814/?articul=80308925" TargetMode="External"/><Relationship Id="rId13" Type="http://schemas.openxmlformats.org/officeDocument/2006/relationships/drawing" Target="../drawings/drawing1.xml"/><Relationship Id="rId3" Type="http://schemas.openxmlformats.org/officeDocument/2006/relationships/hyperlink" Target="https://www.ikea.com/ru/ru/p/besta-besto-tumba-pod-tv-cherno-korichnevyy-lappvik-stubbarp-cherno-korichnevyy-prozrachnoe-steklo-s19329257/" TargetMode="External"/><Relationship Id="rId7" Type="http://schemas.openxmlformats.org/officeDocument/2006/relationships/hyperlink" Target="https://hoff.ru/catalog/spalnya/krovati/krovati_s_podemnym_mehanizmom/krovat_s_podyemnym_mekhanizmom_mila_id6910342/?articul=80369047" TargetMode="External"/><Relationship Id="rId12" Type="http://schemas.openxmlformats.org/officeDocument/2006/relationships/hyperlink" Target="https://hoff.ru/catalog/gostinaya/pufy_i_banketki/pufy/puf_rubi_id110240/?articul=80064526" TargetMode="External"/><Relationship Id="rId2" Type="http://schemas.openxmlformats.org/officeDocument/2006/relationships/hyperlink" Target="https://www.ikea.com/ru/ru/p/lack-lakk-zhurnalnyy-stol-cherno-korichnevyy-10446067/" TargetMode="External"/><Relationship Id="rId1" Type="http://schemas.openxmlformats.org/officeDocument/2006/relationships/hyperlink" Target="https://www.ikea.com/ru/ru/p/gimmarp-gimmarp-3-mestnyy-divan-krovat-rudorna-svetlo-seryy-90447299/" TargetMode="External"/><Relationship Id="rId6" Type="http://schemas.openxmlformats.org/officeDocument/2006/relationships/hyperlink" Target="https://www.ikea.com/ru/ru/p/gojibaer-goyiber-kashpo-na-opore-d-doma-ulicy-chernyy-80496855/" TargetMode="External"/><Relationship Id="rId11" Type="http://schemas.openxmlformats.org/officeDocument/2006/relationships/hyperlink" Target="https://hoff.ru/catalog/spalnya/tualetnye_stoliki_i_banketki/tyaletnye_stoliki/tualetnyy_stol_linda_id5233860/?articul=80336584" TargetMode="External"/><Relationship Id="rId5" Type="http://schemas.openxmlformats.org/officeDocument/2006/relationships/hyperlink" Target="https://www.ikea.com/ru/ru/p/tiphede-tiphede-kover-bezvorsovyy-chernyy-neokrashennyy-40470046/" TargetMode="External"/><Relationship Id="rId10" Type="http://schemas.openxmlformats.org/officeDocument/2006/relationships/hyperlink" Target="https://hoff.ru/catalog/tovary_dlya_doma/kovry/kovry_sheggi/kovyer_lonzh_id1785054/?articul=80295819" TargetMode="External"/><Relationship Id="rId4" Type="http://schemas.openxmlformats.org/officeDocument/2006/relationships/hyperlink" Target="https://www.ikea.com/ru/ru/p/brimnes-brimnes-stellazh-chernyy-10383338/" TargetMode="External"/><Relationship Id="rId9" Type="http://schemas.openxmlformats.org/officeDocument/2006/relationships/hyperlink" Target="https://hoff.ru/catalog/tovary_dlya_doma/osveschenie/nastolnye_lampy/dekorativnye/lampa_nastolnaya_lyuchiya_610_id2367149/?articul=80304774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hoff.ru/catalog/spalnya/tumby_i_komody/tumby/tumba_sonata_id2816814/?articul=80308925" TargetMode="External"/><Relationship Id="rId3" Type="http://schemas.openxmlformats.org/officeDocument/2006/relationships/hyperlink" Target="https://www.ikea.com/ru/ru/p/besta-besto-tumba-pod-tv-cherno-korichnevyy-lappvik-stubbarp-cherno-korichnevyy-prozrachnoe-steklo-s19329257/" TargetMode="External"/><Relationship Id="rId7" Type="http://schemas.openxmlformats.org/officeDocument/2006/relationships/hyperlink" Target="https://hoff.ru/catalog/spalnya/krovati/krovati_s_podemnym_mehanizmom/krovat_s_podyemnym_mekhanizmom_mila_id6910342/?articul=80369047" TargetMode="External"/><Relationship Id="rId12" Type="http://schemas.openxmlformats.org/officeDocument/2006/relationships/hyperlink" Target="https://hoff.ru/catalog/gostinaya/pufy_i_banketki/pufy/puf_rubi_id110240/?articul=80064526" TargetMode="External"/><Relationship Id="rId2" Type="http://schemas.openxmlformats.org/officeDocument/2006/relationships/hyperlink" Target="https://www.ikea.com/ru/ru/p/lack-lakk-zhurnalnyy-stol-cherno-korichnevyy-10446067/" TargetMode="External"/><Relationship Id="rId1" Type="http://schemas.openxmlformats.org/officeDocument/2006/relationships/hyperlink" Target="https://www.ikea.com/ru/ru/p/gimmarp-gimmarp-3-mestnyy-divan-krovat-rudorna-svetlo-seryy-90447299/" TargetMode="External"/><Relationship Id="rId6" Type="http://schemas.openxmlformats.org/officeDocument/2006/relationships/hyperlink" Target="https://www.ikea.com/ru/ru/p/gojibaer-goyiber-kashpo-na-opore-d-doma-ulicy-chernyy-80496855/" TargetMode="External"/><Relationship Id="rId11" Type="http://schemas.openxmlformats.org/officeDocument/2006/relationships/hyperlink" Target="https://hoff.ru/catalog/spalnya/tualetnye_stoliki_i_banketki/tyaletnye_stoliki/tualetnyy_stol_linda_id5233860/?articul=80336584" TargetMode="External"/><Relationship Id="rId5" Type="http://schemas.openxmlformats.org/officeDocument/2006/relationships/hyperlink" Target="https://www.ikea.com/ru/ru/p/tiphede-tiphede-kover-bezvorsovyy-chernyy-neokrashennyy-40470046/" TargetMode="External"/><Relationship Id="rId10" Type="http://schemas.openxmlformats.org/officeDocument/2006/relationships/hyperlink" Target="https://hoff.ru/catalog/tovary_dlya_doma/kovry/kovry_sheggi/kovyer_lonzh_id1785054/?articul=80295819" TargetMode="External"/><Relationship Id="rId4" Type="http://schemas.openxmlformats.org/officeDocument/2006/relationships/hyperlink" Target="https://www.ikea.com/ru/ru/p/brimnes-brimnes-stellazh-chernyy-10383338/" TargetMode="External"/><Relationship Id="rId9" Type="http://schemas.openxmlformats.org/officeDocument/2006/relationships/hyperlink" Target="https://hoff.ru/catalog/tovary_dlya_doma/osveschenie/nastolnye_lampy/dekorativnye/lampa_nastolnaya_lyuchiya_610_id2367149/?articul=8030477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E15"/>
  <sheetViews>
    <sheetView tabSelected="1" workbookViewId="0">
      <selection activeCell="G35" sqref="G35"/>
    </sheetView>
  </sheetViews>
  <sheetFormatPr defaultRowHeight="14.4" x14ac:dyDescent="0.3"/>
  <cols>
    <col min="2" max="2" width="22" bestFit="1" customWidth="1"/>
    <col min="5" max="5" width="125.77734375" bestFit="1" customWidth="1"/>
  </cols>
  <sheetData>
    <row r="1" spans="1:5" s="8" customFormat="1" x14ac:dyDescent="0.3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</row>
    <row r="2" spans="1:5" x14ac:dyDescent="0.3">
      <c r="A2" s="5" t="s">
        <v>5</v>
      </c>
      <c r="B2" s="2" t="s">
        <v>6</v>
      </c>
      <c r="C2" s="2">
        <v>18999</v>
      </c>
      <c r="D2" s="2" t="s">
        <v>8</v>
      </c>
      <c r="E2" s="3" t="s">
        <v>7</v>
      </c>
    </row>
    <row r="3" spans="1:5" x14ac:dyDescent="0.3">
      <c r="A3" s="5" t="s">
        <v>5</v>
      </c>
      <c r="B3" s="2" t="s">
        <v>9</v>
      </c>
      <c r="C3" s="2">
        <v>2999</v>
      </c>
      <c r="D3" s="2" t="s">
        <v>8</v>
      </c>
      <c r="E3" s="3" t="s">
        <v>10</v>
      </c>
    </row>
    <row r="4" spans="1:5" x14ac:dyDescent="0.3">
      <c r="A4" s="5" t="s">
        <v>5</v>
      </c>
      <c r="B4" s="2" t="s">
        <v>11</v>
      </c>
      <c r="C4" s="2">
        <v>13799</v>
      </c>
      <c r="D4" s="2" t="s">
        <v>8</v>
      </c>
      <c r="E4" s="3" t="s">
        <v>12</v>
      </c>
    </row>
    <row r="5" spans="1:5" x14ac:dyDescent="0.3">
      <c r="A5" s="5" t="s">
        <v>5</v>
      </c>
      <c r="B5" s="2" t="s">
        <v>13</v>
      </c>
      <c r="C5" s="2">
        <v>5999</v>
      </c>
      <c r="D5" s="2" t="s">
        <v>8</v>
      </c>
      <c r="E5" s="3" t="s">
        <v>14</v>
      </c>
    </row>
    <row r="6" spans="1:5" x14ac:dyDescent="0.3">
      <c r="A6" s="5" t="s">
        <v>5</v>
      </c>
      <c r="B6" s="2" t="s">
        <v>15</v>
      </c>
      <c r="C6" s="2">
        <v>1399</v>
      </c>
      <c r="D6" s="2" t="s">
        <v>8</v>
      </c>
      <c r="E6" s="3" t="s">
        <v>16</v>
      </c>
    </row>
    <row r="7" spans="1:5" x14ac:dyDescent="0.3">
      <c r="A7" s="5" t="s">
        <v>5</v>
      </c>
      <c r="B7" s="2" t="s">
        <v>17</v>
      </c>
      <c r="C7" s="2">
        <v>1299</v>
      </c>
      <c r="D7" s="2" t="s">
        <v>8</v>
      </c>
      <c r="E7" s="3" t="s">
        <v>18</v>
      </c>
    </row>
    <row r="8" spans="1:5" x14ac:dyDescent="0.3">
      <c r="A8" s="5" t="s">
        <v>5</v>
      </c>
      <c r="B8" s="9" t="s">
        <v>19</v>
      </c>
      <c r="C8" s="9">
        <f>SUM(C2:C7)</f>
        <v>44494</v>
      </c>
      <c r="D8" s="2"/>
      <c r="E8" s="2"/>
    </row>
    <row r="9" spans="1:5" x14ac:dyDescent="0.3">
      <c r="A9" s="6" t="s">
        <v>20</v>
      </c>
      <c r="B9" s="7" t="s">
        <v>21</v>
      </c>
      <c r="C9" s="7">
        <v>18999</v>
      </c>
      <c r="D9" s="2" t="s">
        <v>23</v>
      </c>
      <c r="E9" s="3" t="s">
        <v>22</v>
      </c>
    </row>
    <row r="10" spans="1:5" x14ac:dyDescent="0.3">
      <c r="A10" s="6" t="s">
        <v>20</v>
      </c>
      <c r="B10" s="7" t="s">
        <v>24</v>
      </c>
      <c r="C10" s="7">
        <v>9999</v>
      </c>
      <c r="D10" s="2" t="s">
        <v>23</v>
      </c>
      <c r="E10" s="3" t="s">
        <v>25</v>
      </c>
    </row>
    <row r="11" spans="1:5" x14ac:dyDescent="0.3">
      <c r="A11" s="6" t="s">
        <v>20</v>
      </c>
      <c r="B11" s="7" t="s">
        <v>26</v>
      </c>
      <c r="C11" s="7">
        <v>999</v>
      </c>
      <c r="D11" s="2" t="s">
        <v>23</v>
      </c>
      <c r="E11" s="3" t="s">
        <v>27</v>
      </c>
    </row>
    <row r="12" spans="1:5" x14ac:dyDescent="0.3">
      <c r="A12" s="6" t="s">
        <v>20</v>
      </c>
      <c r="B12" s="7" t="s">
        <v>28</v>
      </c>
      <c r="C12" s="7">
        <v>999</v>
      </c>
      <c r="D12" s="2" t="s">
        <v>23</v>
      </c>
      <c r="E12" s="3" t="s">
        <v>29</v>
      </c>
    </row>
    <row r="13" spans="1:5" x14ac:dyDescent="0.3">
      <c r="A13" s="6" t="s">
        <v>20</v>
      </c>
      <c r="B13" s="7" t="s">
        <v>30</v>
      </c>
      <c r="C13" s="7">
        <v>11999</v>
      </c>
      <c r="D13" s="2" t="s">
        <v>23</v>
      </c>
      <c r="E13" s="3" t="s">
        <v>31</v>
      </c>
    </row>
    <row r="14" spans="1:5" x14ac:dyDescent="0.3">
      <c r="A14" s="6" t="s">
        <v>20</v>
      </c>
      <c r="B14" s="7" t="s">
        <v>32</v>
      </c>
      <c r="C14" s="7">
        <v>1999</v>
      </c>
      <c r="D14" s="2" t="s">
        <v>23</v>
      </c>
      <c r="E14" s="3" t="s">
        <v>33</v>
      </c>
    </row>
    <row r="15" spans="1:5" x14ac:dyDescent="0.3">
      <c r="A15" s="6" t="s">
        <v>20</v>
      </c>
      <c r="B15" s="9" t="s">
        <v>19</v>
      </c>
      <c r="C15" s="9">
        <f>SUM(C9:C14)</f>
        <v>44994</v>
      </c>
      <c r="D15" s="2"/>
      <c r="E15" s="2"/>
    </row>
  </sheetData>
  <sheetProtection formatCells="0" formatColumns="0" formatRows="0" insertColumns="0" insertRows="0" insertHyperlinks="0" deleteColumns="0" deleteRows="0"/>
  <hyperlinks>
    <hyperlink ref="E2" r:id="rId1"/>
    <hyperlink ref="E3" r:id="rId2"/>
    <hyperlink ref="E4" r:id="rId3"/>
    <hyperlink ref="E5" r:id="rId4"/>
    <hyperlink ref="E6" r:id="rId5"/>
    <hyperlink ref="E7" r:id="rId6"/>
    <hyperlink ref="E9" r:id="rId7"/>
    <hyperlink ref="E10" r:id="rId8"/>
    <hyperlink ref="E11" r:id="rId9"/>
    <hyperlink ref="E12" r:id="rId10"/>
    <hyperlink ref="E13" r:id="rId11"/>
    <hyperlink ref="E14" r:id="rId12"/>
  </hyperlinks>
  <pageMargins left="0.7" right="0.7" top="0.75" bottom="0.75" header="0.3" footer="0.3"/>
  <drawing r:id="rId1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E15"/>
  <sheetViews>
    <sheetView workbookViewId="0">
      <selection activeCell="B15" sqref="B15"/>
    </sheetView>
  </sheetViews>
  <sheetFormatPr defaultRowHeight="14.4" x14ac:dyDescent="0.3"/>
  <cols>
    <col min="2" max="2" width="22" bestFit="1" customWidth="1"/>
    <col min="5" max="5" width="125.77734375" bestFit="1" customWidth="1"/>
  </cols>
  <sheetData>
    <row r="1" spans="1:5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">
      <c r="A2" t="s">
        <v>5</v>
      </c>
      <c r="B2" t="s">
        <v>6</v>
      </c>
      <c r="C2">
        <v>18999</v>
      </c>
      <c r="D2" t="s">
        <v>8</v>
      </c>
      <c r="E2" s="1" t="s">
        <v>7</v>
      </c>
    </row>
    <row r="3" spans="1:5" x14ac:dyDescent="0.3">
      <c r="A3" t="s">
        <v>5</v>
      </c>
      <c r="B3" t="s">
        <v>9</v>
      </c>
      <c r="C3">
        <v>2999</v>
      </c>
      <c r="D3" t="s">
        <v>8</v>
      </c>
      <c r="E3" s="1" t="s">
        <v>10</v>
      </c>
    </row>
    <row r="4" spans="1:5" x14ac:dyDescent="0.3">
      <c r="A4" t="s">
        <v>5</v>
      </c>
      <c r="B4" t="s">
        <v>11</v>
      </c>
      <c r="C4">
        <v>13799</v>
      </c>
      <c r="D4" t="s">
        <v>8</v>
      </c>
      <c r="E4" s="1" t="s">
        <v>12</v>
      </c>
    </row>
    <row r="5" spans="1:5" x14ac:dyDescent="0.3">
      <c r="A5" t="s">
        <v>5</v>
      </c>
      <c r="B5" t="s">
        <v>13</v>
      </c>
      <c r="C5">
        <v>5999</v>
      </c>
      <c r="D5" t="s">
        <v>8</v>
      </c>
      <c r="E5" s="1" t="s">
        <v>14</v>
      </c>
    </row>
    <row r="6" spans="1:5" x14ac:dyDescent="0.3">
      <c r="A6" t="s">
        <v>5</v>
      </c>
      <c r="B6" t="s">
        <v>15</v>
      </c>
      <c r="C6">
        <v>1399</v>
      </c>
      <c r="D6" t="s">
        <v>8</v>
      </c>
      <c r="E6" s="1" t="s">
        <v>16</v>
      </c>
    </row>
    <row r="7" spans="1:5" x14ac:dyDescent="0.3">
      <c r="A7" t="s">
        <v>5</v>
      </c>
      <c r="B7" t="s">
        <v>17</v>
      </c>
      <c r="C7">
        <v>1299</v>
      </c>
      <c r="D7" t="s">
        <v>8</v>
      </c>
      <c r="E7" s="1" t="s">
        <v>18</v>
      </c>
    </row>
    <row r="8" spans="1:5" x14ac:dyDescent="0.3">
      <c r="A8" t="s">
        <v>5</v>
      </c>
      <c r="B8" t="s">
        <v>19</v>
      </c>
      <c r="C8">
        <f>SUM(C2:C7)</f>
        <v>44494</v>
      </c>
    </row>
    <row r="9" spans="1:5" x14ac:dyDescent="0.3">
      <c r="A9" t="s">
        <v>20</v>
      </c>
      <c r="B9" t="s">
        <v>21</v>
      </c>
      <c r="C9">
        <v>18999</v>
      </c>
      <c r="D9" t="s">
        <v>23</v>
      </c>
      <c r="E9" s="1" t="s">
        <v>22</v>
      </c>
    </row>
    <row r="10" spans="1:5" x14ac:dyDescent="0.3">
      <c r="A10" t="s">
        <v>20</v>
      </c>
      <c r="B10" t="s">
        <v>24</v>
      </c>
      <c r="C10">
        <v>9999</v>
      </c>
      <c r="D10" t="s">
        <v>23</v>
      </c>
      <c r="E10" s="1" t="s">
        <v>25</v>
      </c>
    </row>
    <row r="11" spans="1:5" x14ac:dyDescent="0.3">
      <c r="A11" t="s">
        <v>20</v>
      </c>
      <c r="B11" t="s">
        <v>26</v>
      </c>
      <c r="C11">
        <v>999</v>
      </c>
      <c r="D11" t="s">
        <v>23</v>
      </c>
      <c r="E11" s="1" t="s">
        <v>27</v>
      </c>
    </row>
    <row r="12" spans="1:5" x14ac:dyDescent="0.3">
      <c r="A12" t="s">
        <v>20</v>
      </c>
      <c r="B12" t="s">
        <v>28</v>
      </c>
      <c r="C12">
        <v>999</v>
      </c>
      <c r="D12" t="s">
        <v>23</v>
      </c>
      <c r="E12" s="1" t="s">
        <v>29</v>
      </c>
    </row>
    <row r="13" spans="1:5" x14ac:dyDescent="0.3">
      <c r="A13" t="s">
        <v>20</v>
      </c>
      <c r="B13" t="s">
        <v>30</v>
      </c>
      <c r="C13">
        <v>11999</v>
      </c>
      <c r="D13" t="s">
        <v>23</v>
      </c>
      <c r="E13" s="1" t="s">
        <v>31</v>
      </c>
    </row>
    <row r="14" spans="1:5" x14ac:dyDescent="0.3">
      <c r="A14" t="s">
        <v>20</v>
      </c>
      <c r="B14" t="s">
        <v>32</v>
      </c>
      <c r="C14">
        <v>1999</v>
      </c>
      <c r="D14" t="s">
        <v>23</v>
      </c>
      <c r="E14" s="1" t="s">
        <v>33</v>
      </c>
    </row>
    <row r="15" spans="1:5" x14ac:dyDescent="0.3">
      <c r="A15" t="s">
        <v>20</v>
      </c>
      <c r="B15" t="s">
        <v>19</v>
      </c>
      <c r="C15">
        <f>SUM(C9:C14)</f>
        <v>44994</v>
      </c>
    </row>
  </sheetData>
  <sheetProtection algorithmName="SHA-512" hashValue="7ZsWtxXS8ZYALdn0xmE9bjbqVOPfXXSIZlSuBboNA2/rxdcQsi70jOoZVQDDDwY+s30a1JEwGswsnOorV5sBrg==" saltValue="44IIvMFGyp0SC6HymClRLA==" spinCount="100000" sheet="1" formatCells="0" formatColumns="0" formatRows="0" insertColumns="0" insertRows="0" insertHyperlinks="0" deleteColumns="0" deleteRows="0" sort="0" autoFilter="0" pivotTables="0"/>
  <hyperlinks>
    <hyperlink ref="E2" r:id="rId1"/>
    <hyperlink ref="E3" r:id="rId2"/>
    <hyperlink ref="E4" r:id="rId3"/>
    <hyperlink ref="E5" r:id="rId4"/>
    <hyperlink ref="E6" r:id="rId5"/>
    <hyperlink ref="E7" r:id="rId6"/>
    <hyperlink ref="E9" r:id="rId7"/>
    <hyperlink ref="E10" r:id="rId8"/>
    <hyperlink ref="E11" r:id="rId9"/>
    <hyperlink ref="E12" r:id="rId10"/>
    <hyperlink ref="E13" r:id="rId11"/>
    <hyperlink ref="E14" r:id="rId12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>
      <selection activeCell="A15" sqref="A15"/>
    </sheetView>
  </sheetViews>
  <sheetFormatPr defaultRowHeight="14.4" x14ac:dyDescent="0.3"/>
  <sheetData>
    <row r="1" spans="1:1" x14ac:dyDescent="0.3">
      <c r="A1">
        <v>25031999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Лист1 (2)</vt:lpstr>
      <vt:lpstr>пароль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Анастасия Головкова</dc:creator>
  <cp:lastModifiedBy>Анастасия Головкова</cp:lastModifiedBy>
  <dcterms:created xsi:type="dcterms:W3CDTF">2021-10-12T09:01:05Z</dcterms:created>
  <dcterms:modified xsi:type="dcterms:W3CDTF">2021-10-12T15:47:53Z</dcterms:modified>
</cp:coreProperties>
</file>